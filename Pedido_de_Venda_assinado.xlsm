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EstaPastaDeTrabalho1"/>
  <mc:AlternateContent xmlns:mc="http://schemas.openxmlformats.org/markup-compatibility/2006">
    <mc:Choice Requires="x15">
      <x15ac:absPath xmlns:x15ac="http://schemas.microsoft.com/office/spreadsheetml/2010/11/ac" url="C:\Users\Padrao_win10\Desktop\DeMendes\Relatórios\"/>
    </mc:Choice>
  </mc:AlternateContent>
  <bookViews>
    <workbookView xWindow="0" yWindow="0" windowWidth="20490" windowHeight="7755"/>
  </bookViews>
  <sheets>
    <sheet name="Planilha1" sheetId="1" r:id="rId1"/>
    <sheet name="Planilha2" sheetId="2" r:id="rId2"/>
  </sheets>
  <definedNames>
    <definedName name="_xlnm.Print_Area" localSheetId="0">Planilha1!#REF!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7" roundtripDataSignature="AMtx7mgtWGpuYUYy3vbe0EpXRoCreic4/g=="/>
    </ext>
  </extLst>
</workbook>
</file>

<file path=xl/calcChain.xml><?xml version="1.0" encoding="utf-8"?>
<calcChain xmlns="http://schemas.openxmlformats.org/spreadsheetml/2006/main">
  <c r="G40" i="1" l="1"/>
  <c r="G39" i="1"/>
  <c r="G38" i="1"/>
  <c r="G37" i="1"/>
  <c r="G36" i="1"/>
  <c r="G34" i="1"/>
  <c r="G33" i="1"/>
  <c r="G32" i="1"/>
  <c r="G31" i="1"/>
  <c r="G30" i="1"/>
  <c r="G29" i="1"/>
  <c r="G28" i="1"/>
  <c r="G27" i="1"/>
  <c r="G26" i="1"/>
  <c r="G25" i="1"/>
  <c r="G24" i="1"/>
  <c r="F3" i="1" l="1"/>
</calcChain>
</file>

<file path=xl/sharedStrings.xml><?xml version="1.0" encoding="utf-8"?>
<sst xmlns="http://schemas.openxmlformats.org/spreadsheetml/2006/main" count="73" uniqueCount="63">
  <si>
    <t>Data</t>
  </si>
  <si>
    <t>Pedido nº</t>
  </si>
  <si>
    <t>Vendedor</t>
  </si>
  <si>
    <t>Seu nome</t>
  </si>
  <si>
    <t xml:space="preserve">  REPRESENTADA</t>
  </si>
  <si>
    <t xml:space="preserve">  Nome:</t>
  </si>
  <si>
    <t xml:space="preserve">  CLIENTE </t>
  </si>
  <si>
    <t xml:space="preserve">  CNPJ:</t>
  </si>
  <si>
    <t xml:space="preserve">  I.E.:</t>
  </si>
  <si>
    <t xml:space="preserve">  Cidade:</t>
  </si>
  <si>
    <t xml:space="preserve">  Estado:</t>
  </si>
  <si>
    <t xml:space="preserve">  Endereço:</t>
  </si>
  <si>
    <t xml:space="preserve">  CEP:</t>
  </si>
  <si>
    <t xml:space="preserve">  Telefone:</t>
  </si>
  <si>
    <t xml:space="preserve">  E-mail:  </t>
  </si>
  <si>
    <t xml:space="preserve">  INFORMAÇÕES GERAIS</t>
  </si>
  <si>
    <t xml:space="preserve">  Condição de pagamento</t>
  </si>
  <si>
    <t xml:space="preserve">  Transportadora</t>
  </si>
  <si>
    <t xml:space="preserve">  Data de entrega</t>
  </si>
  <si>
    <t>Código</t>
  </si>
  <si>
    <t>Descrição</t>
  </si>
  <si>
    <t>Qtde.</t>
  </si>
  <si>
    <t>Preço unit.</t>
  </si>
  <si>
    <t>Desconto (%)</t>
  </si>
  <si>
    <t>Subtotal</t>
  </si>
  <si>
    <t xml:space="preserve">  </t>
  </si>
  <si>
    <t xml:space="preserve"> </t>
  </si>
  <si>
    <t>Pedido de Venda</t>
  </si>
  <si>
    <t>Natureza da operação</t>
  </si>
  <si>
    <t xml:space="preserve">Chocolate Sakaguchi ao Leite 47% cacau </t>
  </si>
  <si>
    <t xml:space="preserve">Chocolate Bom Jardim 63% cacau </t>
  </si>
  <si>
    <t xml:space="preserve">Chocolate Vale do Jarí 65% cacau </t>
  </si>
  <si>
    <t xml:space="preserve">Chocolate Yanomami 69% cacau </t>
  </si>
  <si>
    <t xml:space="preserve">Chocolate Paiter Surui  70% cacau </t>
  </si>
  <si>
    <t xml:space="preserve">Chocolate Mulheres da Floresta 72% cacau </t>
  </si>
  <si>
    <t xml:space="preserve">Chocolate Mocajuba 74% cacau </t>
  </si>
  <si>
    <t xml:space="preserve">Chocolate Acará-Açu 75% cacau </t>
  </si>
  <si>
    <t xml:space="preserve">Chocolate Sakaguchi 78% cacau </t>
  </si>
  <si>
    <t xml:space="preserve">Chocolate Xiba 81% cacau </t>
  </si>
  <si>
    <t xml:space="preserve">Cupulate Amabela 65% Cupuaçu </t>
  </si>
  <si>
    <t xml:space="preserve">Cupulate Kunkuni 70% Cupuaçu </t>
  </si>
  <si>
    <t>Biscoito de Castanha do Pará com Puxuri e Flor de Sal coberto com chocolate 60% Cacau -150grs</t>
  </si>
  <si>
    <t>Castanha do Pará coberta com chocolate 60% cacau  e flor de sal  150Grs</t>
  </si>
  <si>
    <t>Bombom de Chocolate 60% Cacau e Café Apuí  150Grs</t>
  </si>
  <si>
    <t>Biscoito de Castanha do Pará com Puxuri e Flor de Sal coberto com chocolate 60% Cacau -50grs</t>
  </si>
  <si>
    <t>Castanha do Pará coberta com chocolate 60% cacau  e flor de sal  50Grs</t>
  </si>
  <si>
    <t>Bombom de Chocolate 60% Cacau e Café Apuí  50Grs</t>
  </si>
  <si>
    <t>03504001</t>
  </si>
  <si>
    <t>Kit 1 - Leveza Nativa</t>
  </si>
  <si>
    <t>03504002</t>
  </si>
  <si>
    <t>Kit 2 - Poder da Floresta</t>
  </si>
  <si>
    <t>KITS</t>
  </si>
  <si>
    <t>03504003</t>
  </si>
  <si>
    <t>Kit 3 - Guardiões da Amazônia</t>
  </si>
  <si>
    <t>03504004</t>
  </si>
  <si>
    <t>Kit 4 - Expedição pela Amazônia</t>
  </si>
  <si>
    <t>03504005</t>
  </si>
  <si>
    <t>Kit 5 - Exuberância de Sabores</t>
  </si>
  <si>
    <t>Kit 6 - Encanto dos Povos da Floresta</t>
  </si>
  <si>
    <t>De Mendes</t>
  </si>
  <si>
    <t>24.660.642/0002-66</t>
  </si>
  <si>
    <t>30 DD</t>
  </si>
  <si>
    <t>CFOP 6.151 Transferência de produção do estabelecimento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</si>
</sst>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5" formatCode="0.0000"/>
    <numFmt numFmtId="166" formatCode="_-&quot;R$&quot;\ * #,##0.00_-;\-&quot;R$&quot;\ * #,##0.00_-;_-&quot;R$&quot;\ * &quot;-&quot;??_-;_-@"/>
  </numFmts>
  <fonts count="20">
    <font>
      <sz val="11"/>
      <color theme="1"/>
      <name val="Arial"/>
    </font>
    <font>
      <b/>
      <sz val="20"/>
      <color rgb="FFFFFFFF"/>
      <name val="Montserrat"/>
    </font>
    <font>
      <sz val="11"/>
      <name val="Arial"/>
    </font>
    <font>
      <sz val="11"/>
      <color theme="1"/>
      <name val="Open Sans"/>
    </font>
    <font>
      <sz val="10"/>
      <color theme="1"/>
      <name val="Open Sans"/>
    </font>
    <font>
      <b/>
      <sz val="10"/>
      <color rgb="FF000000"/>
      <name val="Montserrat"/>
    </font>
    <font>
      <sz val="10"/>
      <color theme="1"/>
      <name val="Montserrat"/>
    </font>
    <font>
      <sz val="11"/>
      <color rgb="FF000000"/>
      <name val="Open Sans"/>
    </font>
    <font>
      <b/>
      <sz val="11"/>
      <color rgb="FF000000"/>
      <name val="Montserrat"/>
    </font>
    <font>
      <sz val="9"/>
      <color rgb="FF222222"/>
      <name val="Consolas"/>
    </font>
    <font>
      <u/>
      <sz val="11"/>
      <color theme="10"/>
      <name val="Calibri"/>
    </font>
    <font>
      <sz val="11"/>
      <color rgb="FF000000"/>
      <name val="Montserrat"/>
    </font>
    <font>
      <sz val="12"/>
      <color rgb="FFFFFFFF"/>
      <name val="Montserrat"/>
    </font>
    <font>
      <sz val="12"/>
      <color theme="0"/>
      <name val="Montserrat"/>
    </font>
    <font>
      <sz val="11"/>
      <color theme="1"/>
      <name val="Arial"/>
      <family val="2"/>
    </font>
    <font>
      <sz val="10"/>
      <color theme="1"/>
      <name val="Open Sans"/>
      <family val="2"/>
    </font>
    <font>
      <u/>
      <sz val="10"/>
      <color theme="1"/>
      <name val="Open Sans"/>
      <family val="2"/>
    </font>
    <font>
      <sz val="11"/>
      <name val="Arial"/>
      <family val="2"/>
    </font>
    <font>
      <sz val="11"/>
      <color theme="1"/>
      <name val="Open Sans"/>
      <family val="2"/>
    </font>
    <font>
      <sz val="11"/>
      <color rgb="FF000000"/>
      <name val="Open Sans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FF"/>
        <bgColor rgb="FFFFFFFF"/>
      </patternFill>
    </fill>
    <fill>
      <patternFill patternType="solid">
        <fgColor rgb="FFC0C0C0"/>
        <bgColor rgb="FFC0C0C0"/>
      </patternFill>
    </fill>
    <fill>
      <patternFill patternType="solid">
        <fgColor rgb="FFECECEC"/>
        <bgColor rgb="FFECECEC"/>
      </patternFill>
    </fill>
    <fill>
      <patternFill patternType="solid">
        <fgColor theme="9" tint="0.39997558519241921"/>
        <bgColor rgb="FF66399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8168889431442"/>
        <bgColor rgb="FFECECEC"/>
      </patternFill>
    </fill>
    <fill>
      <patternFill patternType="solid">
        <fgColor theme="0"/>
        <bgColor rgb="FFECECEC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3">
    <border>
      <left/>
      <right/>
      <top/>
      <bottom/>
      <diagonal/>
    </border>
    <border>
      <left style="thin">
        <color rgb="FFD0CECE"/>
      </left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/>
      <bottom/>
      <diagonal/>
    </border>
    <border>
      <left style="thin">
        <color rgb="FFD0CECE"/>
      </left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rgb="FFD0CECE"/>
      </bottom>
      <diagonal/>
    </border>
    <border>
      <left/>
      <right style="thin">
        <color rgb="FFD0CECE"/>
      </right>
      <top/>
      <bottom style="thin">
        <color rgb="FFD0CECE"/>
      </bottom>
      <diagonal/>
    </border>
    <border>
      <left/>
      <right/>
      <top/>
      <bottom style="thin">
        <color rgb="FFD0CECE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D0CECE"/>
      </left>
      <right style="thin">
        <color rgb="FFD0CECE"/>
      </right>
      <top/>
      <bottom style="thin">
        <color rgb="FFD0CECE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3" fillId="0" borderId="0" xfId="0" applyFont="1"/>
    <xf numFmtId="0" fontId="4" fillId="0" borderId="0" xfId="0" applyFont="1"/>
    <xf numFmtId="0" fontId="3" fillId="0" borderId="4" xfId="0" applyFont="1" applyBorder="1" applyAlignment="1">
      <alignment horizontal="center" vertical="center"/>
    </xf>
    <xf numFmtId="0" fontId="5" fillId="3" borderId="5" xfId="0" applyFont="1" applyFill="1" applyBorder="1"/>
    <xf numFmtId="0" fontId="4" fillId="0" borderId="0" xfId="0" applyFont="1" applyAlignment="1">
      <alignment horizontal="center"/>
    </xf>
    <xf numFmtId="0" fontId="9" fillId="0" borderId="0" xfId="0" applyFont="1"/>
    <xf numFmtId="0" fontId="10" fillId="0" borderId="0" xfId="0" applyFont="1"/>
    <xf numFmtId="0" fontId="11" fillId="0" borderId="5" xfId="0" applyFont="1" applyBorder="1"/>
    <xf numFmtId="0" fontId="12" fillId="4" borderId="5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2" fillId="4" borderId="9" xfId="0" applyFont="1" applyFill="1" applyBorder="1" applyAlignment="1">
      <alignment horizontal="center" vertical="center"/>
    </xf>
    <xf numFmtId="0" fontId="12" fillId="4" borderId="3" xfId="0" applyFont="1" applyFill="1" applyBorder="1" applyAlignment="1">
      <alignment horizontal="center" vertical="center"/>
    </xf>
    <xf numFmtId="166" fontId="6" fillId="0" borderId="5" xfId="0" applyNumberFormat="1" applyFont="1" applyBorder="1" applyAlignment="1">
      <alignment horizontal="center"/>
    </xf>
    <xf numFmtId="166" fontId="6" fillId="5" borderId="5" xfId="0" applyNumberFormat="1" applyFont="1" applyFill="1" applyBorder="1" applyAlignment="1">
      <alignment horizontal="center"/>
    </xf>
    <xf numFmtId="0" fontId="7" fillId="0" borderId="0" xfId="0" applyFont="1"/>
    <xf numFmtId="0" fontId="3" fillId="0" borderId="0" xfId="0" applyFont="1" applyAlignment="1">
      <alignment vertical="top"/>
    </xf>
    <xf numFmtId="0" fontId="1" fillId="6" borderId="1" xfId="0" applyFont="1" applyFill="1" applyBorder="1" applyAlignment="1">
      <alignment horizontal="center" vertical="center"/>
    </xf>
    <xf numFmtId="0" fontId="2" fillId="7" borderId="2" xfId="0" applyFont="1" applyFill="1" applyBorder="1"/>
    <xf numFmtId="0" fontId="2" fillId="7" borderId="3" xfId="0" applyFont="1" applyFill="1" applyBorder="1"/>
    <xf numFmtId="0" fontId="3" fillId="0" borderId="0" xfId="0" applyFont="1" applyAlignment="1">
      <alignment horizontal="center"/>
    </xf>
    <xf numFmtId="0" fontId="0" fillId="0" borderId="0" xfId="0"/>
    <xf numFmtId="14" fontId="6" fillId="0" borderId="1" xfId="0" applyNumberFormat="1" applyFont="1" applyBorder="1" applyAlignment="1">
      <alignment horizontal="center"/>
    </xf>
    <xf numFmtId="0" fontId="2" fillId="0" borderId="3" xfId="0" applyFont="1" applyBorder="1"/>
    <xf numFmtId="0" fontId="7" fillId="0" borderId="6" xfId="0" applyFont="1" applyBorder="1"/>
    <xf numFmtId="0" fontId="2" fillId="0" borderId="7" xfId="0" applyFont="1" applyBorder="1"/>
    <xf numFmtId="0" fontId="6" fillId="0" borderId="1" xfId="0" applyFont="1" applyBorder="1" applyAlignment="1">
      <alignment horizontal="center"/>
    </xf>
    <xf numFmtId="0" fontId="11" fillId="0" borderId="1" xfId="0" applyFont="1" applyBorder="1" applyAlignment="1">
      <alignment horizontal="left"/>
    </xf>
    <xf numFmtId="0" fontId="13" fillId="4" borderId="1" xfId="0" applyFont="1" applyFill="1" applyBorder="1" applyAlignment="1">
      <alignment horizontal="center" vertical="center"/>
    </xf>
    <xf numFmtId="0" fontId="14" fillId="0" borderId="0" xfId="0" applyFont="1"/>
    <xf numFmtId="0" fontId="15" fillId="0" borderId="1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165" fontId="16" fillId="0" borderId="5" xfId="0" applyNumberFormat="1" applyFont="1" applyBorder="1" applyAlignment="1">
      <alignment horizontal="center"/>
    </xf>
    <xf numFmtId="166" fontId="15" fillId="0" borderId="5" xfId="0" applyNumberFormat="1" applyFont="1" applyBorder="1" applyAlignment="1">
      <alignment horizontal="center"/>
    </xf>
    <xf numFmtId="9" fontId="15" fillId="0" borderId="10" xfId="0" applyNumberFormat="1" applyFont="1" applyBorder="1" applyAlignment="1">
      <alignment horizontal="center"/>
    </xf>
    <xf numFmtId="0" fontId="14" fillId="8" borderId="0" xfId="0" applyFont="1" applyFill="1"/>
    <xf numFmtId="0" fontId="15" fillId="9" borderId="1" xfId="0" applyFont="1" applyFill="1" applyBorder="1" applyAlignment="1">
      <alignment horizontal="center"/>
    </xf>
    <xf numFmtId="0" fontId="15" fillId="9" borderId="3" xfId="0" applyFont="1" applyFill="1" applyBorder="1" applyAlignment="1">
      <alignment horizontal="center"/>
    </xf>
    <xf numFmtId="165" fontId="15" fillId="5" borderId="5" xfId="0" applyNumberFormat="1" applyFont="1" applyFill="1" applyBorder="1" applyAlignment="1">
      <alignment horizontal="center"/>
    </xf>
    <xf numFmtId="166" fontId="15" fillId="5" borderId="5" xfId="0" applyNumberFormat="1" applyFont="1" applyFill="1" applyBorder="1" applyAlignment="1">
      <alignment horizontal="center"/>
    </xf>
    <xf numFmtId="9" fontId="15" fillId="5" borderId="5" xfId="0" applyNumberFormat="1" applyFont="1" applyFill="1" applyBorder="1" applyAlignment="1">
      <alignment horizontal="center"/>
    </xf>
    <xf numFmtId="165" fontId="15" fillId="0" borderId="5" xfId="0" applyNumberFormat="1" applyFont="1" applyBorder="1" applyAlignment="1">
      <alignment horizontal="center"/>
    </xf>
    <xf numFmtId="9" fontId="15" fillId="0" borderId="5" xfId="0" applyNumberFormat="1" applyFont="1" applyBorder="1" applyAlignment="1">
      <alignment horizontal="center"/>
    </xf>
    <xf numFmtId="0" fontId="15" fillId="5" borderId="1" xfId="0" applyFont="1" applyFill="1" applyBorder="1" applyAlignment="1">
      <alignment horizontal="center"/>
    </xf>
    <xf numFmtId="0" fontId="15" fillId="5" borderId="3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/>
    </xf>
    <xf numFmtId="0" fontId="15" fillId="8" borderId="3" xfId="0" applyFont="1" applyFill="1" applyBorder="1" applyAlignment="1">
      <alignment horizontal="center"/>
    </xf>
    <xf numFmtId="165" fontId="15" fillId="8" borderId="5" xfId="0" applyNumberFormat="1" applyFont="1" applyFill="1" applyBorder="1" applyAlignment="1">
      <alignment horizontal="center"/>
    </xf>
    <xf numFmtId="166" fontId="15" fillId="8" borderId="5" xfId="0" applyNumberFormat="1" applyFont="1" applyFill="1" applyBorder="1" applyAlignment="1">
      <alignment horizontal="center"/>
    </xf>
    <xf numFmtId="9" fontId="15" fillId="8" borderId="5" xfId="0" applyNumberFormat="1" applyFont="1" applyFill="1" applyBorder="1" applyAlignment="1">
      <alignment horizontal="center"/>
    </xf>
    <xf numFmtId="166" fontId="6" fillId="8" borderId="5" xfId="0" applyNumberFormat="1" applyFont="1" applyFill="1" applyBorder="1" applyAlignment="1">
      <alignment horizontal="center"/>
    </xf>
    <xf numFmtId="0" fontId="15" fillId="10" borderId="1" xfId="0" applyFont="1" applyFill="1" applyBorder="1" applyAlignment="1">
      <alignment horizontal="center"/>
    </xf>
    <xf numFmtId="0" fontId="15" fillId="10" borderId="3" xfId="0" applyFont="1" applyFill="1" applyBorder="1" applyAlignment="1">
      <alignment horizontal="center"/>
    </xf>
    <xf numFmtId="165" fontId="15" fillId="10" borderId="5" xfId="0" applyNumberFormat="1" applyFont="1" applyFill="1" applyBorder="1" applyAlignment="1">
      <alignment horizontal="center"/>
    </xf>
    <xf numFmtId="166" fontId="15" fillId="10" borderId="5" xfId="0" applyNumberFormat="1" applyFont="1" applyFill="1" applyBorder="1" applyAlignment="1">
      <alignment horizontal="center"/>
    </xf>
    <xf numFmtId="9" fontId="15" fillId="10" borderId="5" xfId="0" applyNumberFormat="1" applyFont="1" applyFill="1" applyBorder="1" applyAlignment="1">
      <alignment horizontal="center"/>
    </xf>
    <xf numFmtId="166" fontId="6" fillId="10" borderId="5" xfId="0" applyNumberFormat="1" applyFont="1" applyFill="1" applyBorder="1" applyAlignment="1">
      <alignment horizontal="center"/>
    </xf>
    <xf numFmtId="0" fontId="14" fillId="11" borderId="0" xfId="0" applyFont="1" applyFill="1"/>
    <xf numFmtId="0" fontId="17" fillId="11" borderId="3" xfId="0" applyFont="1" applyFill="1" applyBorder="1"/>
    <xf numFmtId="0" fontId="15" fillId="11" borderId="1" xfId="0" applyFont="1" applyFill="1" applyBorder="1" applyAlignment="1">
      <alignment horizontal="center"/>
    </xf>
    <xf numFmtId="0" fontId="15" fillId="11" borderId="3" xfId="0" applyFont="1" applyFill="1" applyBorder="1" applyAlignment="1">
      <alignment horizontal="center"/>
    </xf>
    <xf numFmtId="165" fontId="15" fillId="9" borderId="5" xfId="0" applyNumberFormat="1" applyFont="1" applyFill="1" applyBorder="1" applyAlignment="1">
      <alignment horizontal="center"/>
    </xf>
    <xf numFmtId="166" fontId="15" fillId="9" borderId="5" xfId="0" applyNumberFormat="1" applyFont="1" applyFill="1" applyBorder="1" applyAlignment="1">
      <alignment horizontal="center"/>
    </xf>
    <xf numFmtId="9" fontId="15" fillId="9" borderId="5" xfId="0" applyNumberFormat="1" applyFont="1" applyFill="1" applyBorder="1" applyAlignment="1">
      <alignment horizontal="center"/>
    </xf>
    <xf numFmtId="166" fontId="6" fillId="8" borderId="5" xfId="0" applyNumberFormat="1" applyFont="1" applyFill="1" applyBorder="1" applyAlignment="1">
      <alignment horizontal="center" vertical="center"/>
    </xf>
    <xf numFmtId="0" fontId="0" fillId="12" borderId="11" xfId="0" applyFill="1" applyBorder="1"/>
    <xf numFmtId="0" fontId="0" fillId="0" borderId="0" xfId="0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12" xfId="0" applyFill="1" applyBorder="1"/>
    <xf numFmtId="0" fontId="18" fillId="0" borderId="1" xfId="0" applyFont="1" applyBorder="1" applyAlignment="1">
      <alignment horizontal="center"/>
    </xf>
    <xf numFmtId="0" fontId="17" fillId="0" borderId="2" xfId="0" applyFont="1" applyBorder="1"/>
    <xf numFmtId="0" fontId="17" fillId="0" borderId="3" xfId="0" applyFont="1" applyBorder="1"/>
    <xf numFmtId="0" fontId="18" fillId="0" borderId="1" xfId="0" applyFont="1" applyBorder="1" applyAlignment="1">
      <alignment horizontal="left"/>
    </xf>
    <xf numFmtId="0" fontId="18" fillId="0" borderId="0" xfId="0" applyFont="1"/>
    <xf numFmtId="0" fontId="8" fillId="2" borderId="8" xfId="0" applyFont="1" applyFill="1" applyBorder="1" applyAlignment="1">
      <alignment horizontal="left"/>
    </xf>
    <xf numFmtId="0" fontId="17" fillId="0" borderId="8" xfId="0" applyFont="1" applyBorder="1"/>
    <xf numFmtId="0" fontId="8" fillId="3" borderId="8" xfId="0" applyFont="1" applyFill="1" applyBorder="1" applyAlignment="1">
      <alignment horizontal="left"/>
    </xf>
    <xf numFmtId="0" fontId="19" fillId="0" borderId="5" xfId="0" applyFont="1" applyBorder="1"/>
    <xf numFmtId="0" fontId="19" fillId="0" borderId="1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file:///C:\Users\Padrao_win10\Downloads\assinatura_matheus.png" TargetMode="External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990600</xdr:colOff>
      <xdr:row>41</xdr:row>
      <xdr:rowOff>123825</xdr:rowOff>
    </xdr:from>
    <xdr:ext cx="190500" cy="190500"/>
    <xdr:pic>
      <xdr:nvPicPr>
        <xdr:cNvPr id="3" name="image3.png" title="Image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twoCellAnchor editAs="oneCell">
    <xdr:from>
      <xdr:col>0</xdr:col>
      <xdr:colOff>0</xdr:colOff>
      <xdr:row>1</xdr:row>
      <xdr:rowOff>25400</xdr:rowOff>
    </xdr:from>
    <xdr:to>
      <xdr:col>2</xdr:col>
      <xdr:colOff>1619250</xdr:colOff>
      <xdr:row>6</xdr:row>
      <xdr:rowOff>29845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xmlns="" id="{4AF8648D-B2A9-8B74-2C4F-5C8801D9B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11200"/>
          <a:ext cx="3556000" cy="105219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14288</xdr:colOff>
      <xdr:row>0</xdr:row>
      <xdr:rowOff>14288</xdr:rowOff>
    </xdr:to>
    <xdr:pic>
      <xdr:nvPicPr>
        <xdr:cNvPr id="7" name="Imagem 6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00" y="1270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14288</xdr:colOff>
      <xdr:row>0</xdr:row>
      <xdr:rowOff>14288</xdr:rowOff>
    </xdr:to>
    <xdr:pic>
      <xdr:nvPicPr>
        <xdr:cNvPr id="4" name="Imagem 3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00" y="1270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14288</xdr:colOff>
      <xdr:row>0</xdr:row>
      <xdr:rowOff>14288</xdr:rowOff>
    </xdr:to>
    <xdr:pic>
      <xdr:nvPicPr>
        <xdr:cNvPr id="2" name="Imagem 1"/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700" y="1270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10" name="Imagem 9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8" name="Imagem 7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12" name="Imagem 11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9" name="Imagem 8"/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13" name="Imagem 12"/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11" name="Imagem 10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15" name="Imagem 14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17" name="Imagem 16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19" name="Imagem 18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14" name="Imagem 13"/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18" name="Imagem 17"/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20" name="Imagem 19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23" name="Imagem 22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16" name="Imagem 15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22" name="Imagem 21"/>
        <xdr:cNvPicPr>
          <a:picLocks/>
        </xdr:cNvPicPr>
      </xdr:nvPicPr>
      <xdr:blipFill>
        <a:blip xmlns:r="http://schemas.openxmlformats.org/officeDocument/2006/relationships" r:embed="rId4" r:link="rId5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24" name="Imagem 23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25" name="Imagem 24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31" name="Imagem 30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34" name="Imagem 33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37" name="Imagem 36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40" name="Imagem 39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21" name="Imagem 20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26" name="Imagem 25"/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29" name="Imagem 28"/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  <xdr:oneCellAnchor>
    <xdr:from>
      <xdr:col>4</xdr:col>
      <xdr:colOff>990600</xdr:colOff>
      <xdr:row>41</xdr:row>
      <xdr:rowOff>123825</xdr:rowOff>
    </xdr:from>
    <xdr:ext cx="190500" cy="190500"/>
    <xdr:pic>
      <xdr:nvPicPr>
        <xdr:cNvPr id="32" name="image3.png" title="Image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334375" y="9286875"/>
          <a:ext cx="190500" cy="190500"/>
        </a:xfrm>
        <a:prstGeom prst="rect">
          <a:avLst/>
        </a:prstGeom>
        <a:noFill/>
      </xdr:spPr>
    </xdr:pic>
    <xdr:clientData fLocksWithSheet="0"/>
  </xdr:oneCellAnchor>
  <xdr:oneCellAnchor>
    <xdr:from>
      <xdr:col>4</xdr:col>
      <xdr:colOff>990600</xdr:colOff>
      <xdr:row>42</xdr:row>
      <xdr:rowOff>123825</xdr:rowOff>
    </xdr:from>
    <xdr:ext cx="190500" cy="190500"/>
    <xdr:pic>
      <xdr:nvPicPr>
        <xdr:cNvPr id="33" name="image3.png" title="Image">
          <a:extLst>
            <a:ext uri="{FF2B5EF4-FFF2-40B4-BE49-F238E27FC236}">
              <a16:creationId xmlns="" xmlns:a16="http://schemas.microsoft.com/office/drawing/2014/main" id="{5A82BBD6-5E63-4B45-9B4E-3B60AD93F8CB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334375" y="9525000"/>
          <a:ext cx="190500" cy="190500"/>
        </a:xfrm>
        <a:prstGeom prst="rect">
          <a:avLst/>
        </a:prstGeom>
        <a:noFill/>
      </xdr:spPr>
    </xdr:pic>
    <xdr:clientData fLocksWithSheet="0"/>
  </xdr:oneCellAnchor>
  <xdr:oneCellAnchor>
    <xdr:from>
      <xdr:col>4</xdr:col>
      <xdr:colOff>990600</xdr:colOff>
      <xdr:row>43</xdr:row>
      <xdr:rowOff>123825</xdr:rowOff>
    </xdr:from>
    <xdr:ext cx="190500" cy="190500"/>
    <xdr:pic>
      <xdr:nvPicPr>
        <xdr:cNvPr id="35" name="image3.png" title="Image">
          <a:extLst>
            <a:ext uri="{FF2B5EF4-FFF2-40B4-BE49-F238E27FC236}">
              <a16:creationId xmlns="" xmlns:a16="http://schemas.microsoft.com/office/drawing/2014/main" id="{B2833EA9-10AA-45FC-A7EE-F906D0CC73B9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334375" y="9734550"/>
          <a:ext cx="190500" cy="190500"/>
        </a:xfrm>
        <a:prstGeom prst="rect">
          <a:avLst/>
        </a:prstGeom>
        <a:noFill/>
      </xdr:spPr>
    </xdr:pic>
    <xdr:clientData fLocksWithSheet="0"/>
  </xdr:oneCellAnchor>
  <xdr:oneCellAnchor>
    <xdr:from>
      <xdr:col>4</xdr:col>
      <xdr:colOff>990600</xdr:colOff>
      <xdr:row>44</xdr:row>
      <xdr:rowOff>123825</xdr:rowOff>
    </xdr:from>
    <xdr:ext cx="190500" cy="190500"/>
    <xdr:pic>
      <xdr:nvPicPr>
        <xdr:cNvPr id="36" name="image3.png" title="Image">
          <a:extLst>
            <a:ext uri="{FF2B5EF4-FFF2-40B4-BE49-F238E27FC236}">
              <a16:creationId xmlns="" xmlns:a16="http://schemas.microsoft.com/office/drawing/2014/main" id="{B95A166A-BA34-484C-BF8D-E63B1DB33736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334375" y="9944100"/>
          <a:ext cx="190500" cy="190500"/>
        </a:xfrm>
        <a:prstGeom prst="rect">
          <a:avLst/>
        </a:prstGeom>
        <a:noFill/>
      </xdr:spPr>
    </xdr:pic>
    <xdr:clientData fLocksWithSheet="0"/>
  </xdr:oneCellAnchor>
  <xdr:oneCellAnchor>
    <xdr:from>
      <xdr:col>4</xdr:col>
      <xdr:colOff>990600</xdr:colOff>
      <xdr:row>45</xdr:row>
      <xdr:rowOff>123825</xdr:rowOff>
    </xdr:from>
    <xdr:ext cx="190500" cy="190500"/>
    <xdr:pic>
      <xdr:nvPicPr>
        <xdr:cNvPr id="38" name="image3.png" title="Image">
          <a:extLst>
            <a:ext uri="{FF2B5EF4-FFF2-40B4-BE49-F238E27FC236}">
              <a16:creationId xmlns="" xmlns:a16="http://schemas.microsoft.com/office/drawing/2014/main" id="{613338AD-CC93-4370-8065-79762724E9CE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334375" y="10153650"/>
          <a:ext cx="190500" cy="190500"/>
        </a:xfrm>
        <a:prstGeom prst="rect">
          <a:avLst/>
        </a:prstGeom>
        <a:noFill/>
      </xdr:spPr>
    </xdr:pic>
    <xdr:clientData fLocksWithSheet="0"/>
  </xdr:oneCellAnchor>
  <xdr:oneCellAnchor>
    <xdr:from>
      <xdr:col>4</xdr:col>
      <xdr:colOff>990600</xdr:colOff>
      <xdr:row>46</xdr:row>
      <xdr:rowOff>123825</xdr:rowOff>
    </xdr:from>
    <xdr:ext cx="190500" cy="190500"/>
    <xdr:pic>
      <xdr:nvPicPr>
        <xdr:cNvPr id="39" name="image3.png" title="Image">
          <a:extLst>
            <a:ext uri="{FF2B5EF4-FFF2-40B4-BE49-F238E27FC236}">
              <a16:creationId xmlns="" xmlns:a16="http://schemas.microsoft.com/office/drawing/2014/main" id="{2FE80067-730E-4979-BE4B-F8D3C644B5DD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334375" y="10391775"/>
          <a:ext cx="190500" cy="190500"/>
        </a:xfrm>
        <a:prstGeom prst="rect">
          <a:avLst/>
        </a:prstGeom>
        <a:noFill/>
      </xdr:spPr>
    </xdr:pic>
    <xdr:clientData fLocksWithSheet="0"/>
  </xdr:oneCellAnchor>
  <xdr:oneCellAnchor>
    <xdr:from>
      <xdr:col>4</xdr:col>
      <xdr:colOff>990600</xdr:colOff>
      <xdr:row>47</xdr:row>
      <xdr:rowOff>123825</xdr:rowOff>
    </xdr:from>
    <xdr:ext cx="190500" cy="190500"/>
    <xdr:pic>
      <xdr:nvPicPr>
        <xdr:cNvPr id="41" name="image3.png" title="Image">
          <a:extLst>
            <a:ext uri="{FF2B5EF4-FFF2-40B4-BE49-F238E27FC236}">
              <a16:creationId xmlns="" xmlns:a16="http://schemas.microsoft.com/office/drawing/2014/main" id="{20D2909E-09DE-4036-A130-FAD3904EE222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334375" y="10601325"/>
          <a:ext cx="190500" cy="190500"/>
        </a:xfrm>
        <a:prstGeom prst="rect">
          <a:avLst/>
        </a:prstGeom>
        <a:noFill/>
      </xdr:spPr>
    </xdr:pic>
    <xdr:clientData fLocksWithSheet="0"/>
  </xdr:oneCellAnchor>
  <xdr:oneCellAnchor>
    <xdr:from>
      <xdr:col>4</xdr:col>
      <xdr:colOff>990600</xdr:colOff>
      <xdr:row>40</xdr:row>
      <xdr:rowOff>123825</xdr:rowOff>
    </xdr:from>
    <xdr:ext cx="190500" cy="190500"/>
    <xdr:pic>
      <xdr:nvPicPr>
        <xdr:cNvPr id="42" name="image3.png" title="Image">
          <a:extLst>
            <a:ext uri="{FF2B5EF4-FFF2-40B4-BE49-F238E27FC236}">
              <a16:creationId xmlns="" xmlns:a16="http://schemas.microsoft.com/office/drawing/2014/main" id="{0F04B480-0CF7-4E1C-8597-FE36F31E6A16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334375" y="9077325"/>
          <a:ext cx="190500" cy="190500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0</xdr:col>
      <xdr:colOff>0</xdr:colOff>
      <xdr:row>0</xdr:row>
      <xdr:rowOff>0</xdr:rowOff>
    </xdr:from>
    <xdr:to>
      <xdr:col>0</xdr:col>
      <xdr:colOff>1588</xdr:colOff>
      <xdr:row>0</xdr:row>
      <xdr:rowOff>1588</xdr:rowOff>
    </xdr:to>
    <xdr:pic>
      <xdr:nvPicPr>
        <xdr:cNvPr id="27" name="Imagem 26"/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0"/>
          <a:ext cx="1588" cy="158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Z1000"/>
  <sheetViews>
    <sheetView showGridLines="0" tabSelected="1" workbookViewId="0">
      <selection activeCell="J15" sqref="J15"/>
    </sheetView>
  </sheetViews>
  <sheetFormatPr defaultColWidth="12.5" defaultRowHeight="15" customHeight="1"/>
  <cols>
    <col min="1" max="1" width="11" customWidth="1"/>
    <col min="2" max="2" width="14.375" customWidth="1"/>
    <col min="3" max="3" width="64.5" customWidth="1"/>
    <col min="4" max="4" width="10.375" customWidth="1"/>
    <col min="5" max="5" width="13.625" customWidth="1"/>
    <col min="6" max="6" width="12.625" customWidth="1"/>
    <col min="7" max="7" width="22.375" customWidth="1"/>
    <col min="8" max="12" width="8" customWidth="1"/>
    <col min="13" max="26" width="7.5" customWidth="1"/>
  </cols>
  <sheetData>
    <row r="1" spans="1:26" ht="54" customHeight="1">
      <c r="A1" s="17" t="s">
        <v>27</v>
      </c>
      <c r="B1" s="18"/>
      <c r="C1" s="18"/>
      <c r="D1" s="18"/>
      <c r="E1" s="18"/>
      <c r="F1" s="18"/>
      <c r="G1" s="19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2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>
      <c r="A3" s="20"/>
      <c r="B3" s="21"/>
      <c r="C3" s="21"/>
      <c r="D3" s="3"/>
      <c r="E3" s="4" t="s">
        <v>0</v>
      </c>
      <c r="F3" s="22">
        <f ca="1">TODAY()</f>
        <v>44914</v>
      </c>
      <c r="G3" s="23"/>
      <c r="H3" s="1"/>
      <c r="I3" s="1"/>
      <c r="J3" s="1"/>
      <c r="K3" s="1"/>
      <c r="L3" s="2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6.5" customHeight="1">
      <c r="A4" s="21"/>
      <c r="B4" s="21"/>
      <c r="C4" s="21"/>
      <c r="D4" s="3"/>
      <c r="E4" s="4" t="s">
        <v>1</v>
      </c>
      <c r="F4" s="24"/>
      <c r="G4" s="25"/>
      <c r="H4" s="1"/>
      <c r="I4" s="1"/>
      <c r="J4" s="1"/>
      <c r="K4" s="1"/>
      <c r="L4" s="2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6.5" customHeight="1">
      <c r="A5" s="21"/>
      <c r="B5" s="21"/>
      <c r="C5" s="21"/>
      <c r="D5" s="3"/>
      <c r="E5" s="4" t="s">
        <v>2</v>
      </c>
      <c r="F5" s="26" t="s">
        <v>3</v>
      </c>
      <c r="G5" s="23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6.5" customHeight="1">
      <c r="A6" s="1"/>
      <c r="B6" s="1"/>
      <c r="C6" s="1"/>
      <c r="D6" s="1"/>
      <c r="E6" s="1"/>
      <c r="F6" s="5"/>
      <c r="G6" s="5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>
      <c r="A7" s="76" t="s">
        <v>4</v>
      </c>
      <c r="B7" s="75"/>
      <c r="C7" s="75"/>
      <c r="D7" s="75"/>
      <c r="E7" s="75"/>
      <c r="F7" s="75"/>
      <c r="G7" s="75"/>
      <c r="H7" s="6"/>
      <c r="I7" s="1"/>
      <c r="J7" s="7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6.5" customHeight="1">
      <c r="A8" s="77" t="s">
        <v>5</v>
      </c>
      <c r="B8" s="78"/>
      <c r="C8" s="70"/>
      <c r="D8" s="70"/>
      <c r="E8" s="70"/>
      <c r="F8" s="70"/>
      <c r="G8" s="7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5" customHeight="1">
      <c r="A9" s="73"/>
      <c r="B9" s="73"/>
      <c r="C9" s="73"/>
      <c r="D9" s="73"/>
      <c r="E9" s="73"/>
      <c r="F9" s="73"/>
      <c r="G9" s="73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6.5" customHeight="1">
      <c r="A10" s="74" t="s">
        <v>6</v>
      </c>
      <c r="B10" s="75"/>
      <c r="C10" s="75"/>
      <c r="D10" s="75"/>
      <c r="E10" s="75"/>
      <c r="F10" s="75"/>
      <c r="G10" s="75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6.5" customHeight="1">
      <c r="A11" s="8" t="s">
        <v>5</v>
      </c>
      <c r="B11" s="69" t="s">
        <v>59</v>
      </c>
      <c r="C11" s="70"/>
      <c r="D11" s="70"/>
      <c r="E11" s="70"/>
      <c r="F11" s="70"/>
      <c r="G11" s="7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6.5" customHeight="1">
      <c r="A12" s="8" t="s">
        <v>7</v>
      </c>
      <c r="B12" s="72" t="s">
        <v>60</v>
      </c>
      <c r="C12" s="70"/>
      <c r="D12" s="71"/>
      <c r="E12" s="8" t="s">
        <v>8</v>
      </c>
      <c r="F12" s="72"/>
      <c r="G12" s="7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6.5" customHeight="1">
      <c r="A13" s="8" t="s">
        <v>9</v>
      </c>
      <c r="B13" s="72"/>
      <c r="C13" s="70"/>
      <c r="D13" s="71"/>
      <c r="E13" s="8" t="s">
        <v>10</v>
      </c>
      <c r="F13" s="72"/>
      <c r="G13" s="7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>
      <c r="A14" s="8" t="s">
        <v>11</v>
      </c>
      <c r="B14" s="72"/>
      <c r="C14" s="70"/>
      <c r="D14" s="71"/>
      <c r="E14" s="8" t="s">
        <v>12</v>
      </c>
      <c r="F14" s="72"/>
      <c r="G14" s="7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6.5" customHeight="1">
      <c r="A15" s="8" t="s">
        <v>13</v>
      </c>
      <c r="B15" s="72"/>
      <c r="C15" s="70"/>
      <c r="D15" s="71"/>
      <c r="E15" s="8" t="s">
        <v>14</v>
      </c>
      <c r="F15" s="72"/>
      <c r="G15" s="7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6.5" customHeight="1">
      <c r="A16" s="73"/>
      <c r="B16" s="73"/>
      <c r="C16" s="73"/>
      <c r="D16" s="73"/>
      <c r="E16" s="73"/>
      <c r="F16" s="73"/>
      <c r="G16" s="73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6.5" customHeight="1">
      <c r="A17" s="74" t="s">
        <v>15</v>
      </c>
      <c r="B17" s="75"/>
      <c r="C17" s="75"/>
      <c r="D17" s="75"/>
      <c r="E17" s="75"/>
      <c r="F17" s="75"/>
      <c r="G17" s="75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6.5" customHeight="1">
      <c r="A18" s="27" t="s">
        <v>16</v>
      </c>
      <c r="B18" s="71"/>
      <c r="C18" s="72" t="s">
        <v>61</v>
      </c>
      <c r="D18" s="70"/>
      <c r="E18" s="70"/>
      <c r="F18" s="70"/>
      <c r="G18" s="7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6.5" customHeight="1">
      <c r="A19" s="27" t="s">
        <v>17</v>
      </c>
      <c r="B19" s="71"/>
      <c r="C19" s="72"/>
      <c r="D19" s="70"/>
      <c r="E19" s="70"/>
      <c r="F19" s="70"/>
      <c r="G19" s="7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customHeight="1">
      <c r="A20" s="27" t="s">
        <v>18</v>
      </c>
      <c r="B20" s="71"/>
      <c r="C20" s="72"/>
      <c r="D20" s="70"/>
      <c r="E20" s="70"/>
      <c r="F20" s="70"/>
      <c r="G20" s="7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6.5" customHeight="1">
      <c r="A21" s="27" t="s">
        <v>28</v>
      </c>
      <c r="B21" s="71"/>
      <c r="C21" s="72" t="s">
        <v>62</v>
      </c>
      <c r="D21" s="70"/>
      <c r="E21" s="70"/>
      <c r="F21" s="70"/>
      <c r="G21" s="7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3.5" customHeight="1">
      <c r="A22" s="73"/>
      <c r="B22" s="73"/>
      <c r="C22" s="73"/>
      <c r="D22" s="73"/>
      <c r="E22" s="73"/>
      <c r="F22" s="73"/>
      <c r="G22" s="73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7" customHeight="1">
      <c r="A23" s="9" t="s">
        <v>19</v>
      </c>
      <c r="B23" s="28" t="s">
        <v>20</v>
      </c>
      <c r="C23" s="23"/>
      <c r="D23" s="9" t="s">
        <v>21</v>
      </c>
      <c r="E23" s="10" t="s">
        <v>22</v>
      </c>
      <c r="F23" s="11" t="s">
        <v>23</v>
      </c>
      <c r="G23" s="12" t="s">
        <v>24</v>
      </c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6.5" customHeight="1">
      <c r="A24" s="29">
        <v>3204009</v>
      </c>
      <c r="B24" s="30" t="s">
        <v>29</v>
      </c>
      <c r="C24" s="31"/>
      <c r="D24" s="32">
        <v>341</v>
      </c>
      <c r="E24" s="33"/>
      <c r="F24" s="34"/>
      <c r="G24" s="13">
        <f t="shared" ref="G24:G40" si="0">D24*E24*(1-F24)</f>
        <v>0</v>
      </c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6.5" customHeight="1">
      <c r="A25" s="35">
        <v>2504009</v>
      </c>
      <c r="B25" s="36" t="s">
        <v>30</v>
      </c>
      <c r="C25" s="37"/>
      <c r="D25" s="38">
        <v>36</v>
      </c>
      <c r="E25" s="39"/>
      <c r="F25" s="40"/>
      <c r="G25" s="14">
        <f t="shared" si="0"/>
        <v>0</v>
      </c>
      <c r="H25" s="1"/>
      <c r="I25" s="15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6.5" customHeight="1">
      <c r="A26" s="29">
        <v>404009</v>
      </c>
      <c r="B26" s="30" t="s">
        <v>31</v>
      </c>
      <c r="C26" s="31"/>
      <c r="D26" s="41">
        <v>108</v>
      </c>
      <c r="E26" s="33"/>
      <c r="F26" s="42"/>
      <c r="G26" s="13">
        <f t="shared" si="0"/>
        <v>0</v>
      </c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6.5" customHeight="1">
      <c r="A27" s="35">
        <v>704009</v>
      </c>
      <c r="B27" s="43" t="s">
        <v>32</v>
      </c>
      <c r="C27" s="44"/>
      <c r="D27" s="38">
        <v>40</v>
      </c>
      <c r="E27" s="39"/>
      <c r="F27" s="40"/>
      <c r="G27" s="14">
        <f t="shared" si="0"/>
        <v>0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6.5" customHeight="1">
      <c r="A28" s="29">
        <v>1004009</v>
      </c>
      <c r="B28" s="30" t="s">
        <v>33</v>
      </c>
      <c r="C28" s="31"/>
      <c r="D28" s="41">
        <v>108</v>
      </c>
      <c r="E28" s="33"/>
      <c r="F28" s="42"/>
      <c r="G28" s="13">
        <f t="shared" si="0"/>
        <v>0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6.5" customHeight="1">
      <c r="A29" s="35">
        <v>1204009</v>
      </c>
      <c r="B29" s="45" t="s">
        <v>34</v>
      </c>
      <c r="C29" s="46"/>
      <c r="D29" s="47">
        <v>108</v>
      </c>
      <c r="E29" s="48"/>
      <c r="F29" s="49"/>
      <c r="G29" s="50">
        <f t="shared" si="0"/>
        <v>0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6.5" customHeight="1">
      <c r="A30" s="29">
        <v>204009</v>
      </c>
      <c r="B30" s="51" t="s">
        <v>35</v>
      </c>
      <c r="C30" s="52"/>
      <c r="D30" s="53">
        <v>270</v>
      </c>
      <c r="E30" s="54"/>
      <c r="F30" s="55"/>
      <c r="G30" s="56">
        <f t="shared" si="0"/>
        <v>0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6.5" customHeight="1">
      <c r="A31" s="35">
        <v>1104009</v>
      </c>
      <c r="B31" s="45" t="s">
        <v>36</v>
      </c>
      <c r="C31" s="46"/>
      <c r="D31" s="47">
        <v>108</v>
      </c>
      <c r="E31" s="48"/>
      <c r="F31" s="49"/>
      <c r="G31" s="50">
        <f t="shared" si="0"/>
        <v>0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6.5" customHeight="1">
      <c r="A32" s="57">
        <v>504009</v>
      </c>
      <c r="B32" s="51" t="s">
        <v>37</v>
      </c>
      <c r="C32" s="52"/>
      <c r="D32" s="53">
        <v>90</v>
      </c>
      <c r="E32" s="54"/>
      <c r="F32" s="55"/>
      <c r="G32" s="56">
        <f t="shared" si="0"/>
        <v>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6.5" customHeight="1">
      <c r="A33" s="35">
        <v>104009</v>
      </c>
      <c r="B33" s="45" t="s">
        <v>38</v>
      </c>
      <c r="C33" s="46"/>
      <c r="D33" s="47">
        <v>108</v>
      </c>
      <c r="E33" s="48"/>
      <c r="F33" s="49"/>
      <c r="G33" s="50">
        <f t="shared" si="0"/>
        <v>0</v>
      </c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6.5" customHeight="1">
      <c r="A34" s="29">
        <v>604010</v>
      </c>
      <c r="B34" s="30" t="s">
        <v>39</v>
      </c>
      <c r="C34" s="31"/>
      <c r="D34" s="41">
        <v>54</v>
      </c>
      <c r="E34" s="33"/>
      <c r="F34" s="42"/>
      <c r="G34" s="13">
        <f t="shared" si="0"/>
        <v>0</v>
      </c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6.5" customHeight="1">
      <c r="A35" s="35">
        <v>804010</v>
      </c>
      <c r="B35" s="45" t="s">
        <v>40</v>
      </c>
      <c r="C35" s="46"/>
      <c r="D35" s="47">
        <v>108</v>
      </c>
      <c r="E35" s="48" t="s">
        <v>26</v>
      </c>
      <c r="F35" s="49"/>
      <c r="G35" s="13" t="s">
        <v>26</v>
      </c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6.5" customHeight="1">
      <c r="A36" s="57">
        <v>504011</v>
      </c>
      <c r="B36" s="51" t="s">
        <v>41</v>
      </c>
      <c r="C36" s="52"/>
      <c r="D36" s="53">
        <v>24</v>
      </c>
      <c r="E36" s="54"/>
      <c r="F36" s="55"/>
      <c r="G36" s="56">
        <f t="shared" si="0"/>
        <v>0</v>
      </c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6.5" customHeight="1">
      <c r="A37" s="35">
        <v>3404002</v>
      </c>
      <c r="B37" s="45" t="s">
        <v>42</v>
      </c>
      <c r="C37" s="46"/>
      <c r="D37" s="47">
        <v>25</v>
      </c>
      <c r="E37" s="48"/>
      <c r="F37" s="49"/>
      <c r="G37" s="50">
        <f t="shared" si="0"/>
        <v>0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6.5" customHeight="1">
      <c r="A38" s="57">
        <v>504010</v>
      </c>
      <c r="B38" s="51" t="s">
        <v>43</v>
      </c>
      <c r="C38" s="58"/>
      <c r="D38" s="53">
        <v>25</v>
      </c>
      <c r="E38" s="54"/>
      <c r="F38" s="55"/>
      <c r="G38" s="56">
        <f t="shared" si="0"/>
        <v>0</v>
      </c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6.5" customHeight="1">
      <c r="A39" s="35">
        <v>504012</v>
      </c>
      <c r="B39" s="36" t="s">
        <v>44</v>
      </c>
      <c r="C39" s="37"/>
      <c r="D39" s="47">
        <v>30</v>
      </c>
      <c r="E39" s="48"/>
      <c r="F39" s="49"/>
      <c r="G39" s="50">
        <f t="shared" si="0"/>
        <v>0</v>
      </c>
      <c r="H39" s="1"/>
      <c r="I39" s="1"/>
      <c r="J39" s="1"/>
      <c r="K39" s="1"/>
      <c r="L39" s="1"/>
      <c r="M39" s="15" t="s">
        <v>25</v>
      </c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6.5" customHeight="1">
      <c r="A40" s="57">
        <v>3404003</v>
      </c>
      <c r="B40" s="59" t="s">
        <v>45</v>
      </c>
      <c r="C40" s="60"/>
      <c r="D40" s="53">
        <v>100</v>
      </c>
      <c r="E40" s="54"/>
      <c r="F40" s="55"/>
      <c r="G40" s="56">
        <f t="shared" si="0"/>
        <v>0</v>
      </c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6.5" customHeight="1">
      <c r="A41" s="35">
        <v>504013</v>
      </c>
      <c r="B41" s="36" t="s">
        <v>46</v>
      </c>
      <c r="C41" s="37"/>
      <c r="D41" s="61">
        <v>200</v>
      </c>
      <c r="E41" s="62"/>
      <c r="F41" s="63"/>
      <c r="G41" s="64">
        <v>0</v>
      </c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37.5" customHeight="1">
      <c r="A42" s="65" t="s">
        <v>47</v>
      </c>
      <c r="B42" s="66"/>
      <c r="C42" s="66" t="s">
        <v>48</v>
      </c>
      <c r="D42" s="61">
        <v>10</v>
      </c>
      <c r="E42" s="62"/>
      <c r="F42" s="63"/>
      <c r="G42" s="64">
        <v>0</v>
      </c>
      <c r="H42" s="1"/>
      <c r="I42" s="15" t="s">
        <v>26</v>
      </c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6.5" customHeight="1">
      <c r="A43" s="65" t="s">
        <v>49</v>
      </c>
      <c r="B43" s="67" t="s">
        <v>26</v>
      </c>
      <c r="C43" s="67" t="s">
        <v>50</v>
      </c>
      <c r="D43" s="68">
        <v>4</v>
      </c>
      <c r="E43" s="68" t="s">
        <v>26</v>
      </c>
      <c r="F43" s="68" t="s">
        <v>26</v>
      </c>
      <c r="G43" s="68" t="s">
        <v>51</v>
      </c>
      <c r="H43" s="1"/>
      <c r="I43" s="1"/>
      <c r="J43" s="1"/>
      <c r="K43" s="1"/>
      <c r="L43" s="1"/>
      <c r="M43" s="1"/>
      <c r="N43" s="1"/>
      <c r="O43" s="1"/>
      <c r="P43" s="1"/>
    </row>
    <row r="44" spans="1:26" ht="16.5" customHeight="1">
      <c r="A44" s="65" t="s">
        <v>52</v>
      </c>
      <c r="B44" s="66"/>
      <c r="C44" s="66" t="s">
        <v>53</v>
      </c>
      <c r="D44" s="61">
        <v>4</v>
      </c>
      <c r="E44" s="62"/>
      <c r="F44" s="63"/>
      <c r="G44" s="64">
        <v>0</v>
      </c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spans="1:26" ht="16.5" customHeight="1">
      <c r="A45" s="65" t="s">
        <v>54</v>
      </c>
      <c r="B45" s="67" t="s">
        <v>26</v>
      </c>
      <c r="C45" s="67" t="s">
        <v>55</v>
      </c>
      <c r="D45" s="68">
        <v>6</v>
      </c>
      <c r="E45" s="68" t="s">
        <v>26</v>
      </c>
      <c r="F45" s="68" t="s">
        <v>26</v>
      </c>
      <c r="G45" s="68" t="s">
        <v>51</v>
      </c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spans="1:26" ht="18.75" customHeight="1">
      <c r="A46" s="65" t="s">
        <v>56</v>
      </c>
      <c r="B46" s="66"/>
      <c r="C46" s="66" t="s">
        <v>57</v>
      </c>
      <c r="D46" s="61">
        <v>4</v>
      </c>
      <c r="E46" s="62"/>
      <c r="F46" s="63"/>
      <c r="G46" s="64">
        <v>0</v>
      </c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</row>
    <row r="47" spans="1:26" ht="31.5" customHeight="1">
      <c r="A47" s="65">
        <v>3504006</v>
      </c>
      <c r="B47" s="66"/>
      <c r="C47" s="66" t="s">
        <v>58</v>
      </c>
      <c r="D47" s="61">
        <v>2</v>
      </c>
      <c r="E47" s="62"/>
      <c r="F47" s="63"/>
      <c r="G47" s="64">
        <v>0</v>
      </c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1:26" ht="30.75" customHeight="1">
      <c r="A48" s="35"/>
      <c r="B48" s="36"/>
      <c r="C48" s="37"/>
      <c r="D48" s="61"/>
      <c r="E48" s="62"/>
      <c r="F48" s="63"/>
      <c r="G48" s="64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1:26" ht="16.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6.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6.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6.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6.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6.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6" ht="16.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6.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6.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6.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6.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6.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6.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6.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6.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6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6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6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6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6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6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6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6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6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6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6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6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6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6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6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6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6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6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6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6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6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6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6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6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6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6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6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6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6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6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6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6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6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6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6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6.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6.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6.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6.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6.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6.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6.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6.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6.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6.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6.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6.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6.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6.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6.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6.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6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6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6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6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6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6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6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6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6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6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6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6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6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6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6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6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6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6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6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6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6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6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6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6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6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6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6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6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6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6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6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6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6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6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6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6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6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6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6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6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6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6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6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6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6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6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6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6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6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6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6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6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6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6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6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6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6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6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6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6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6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6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6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6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6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6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6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6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6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6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6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6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6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6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6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6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6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6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6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6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6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6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6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6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6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6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6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6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6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6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6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6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6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6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6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6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6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6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6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6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6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6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6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6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6.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6.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6.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6.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6.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6.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6.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6.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6.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6.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6.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6.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6.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6.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6.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6.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6.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6.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6.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6.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6.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6.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6.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6.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6.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6.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6.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6.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6.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6.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6.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6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6.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6.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6.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6.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6.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6.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6.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6.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6.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6.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6.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6.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6.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6.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6.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6.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6.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6.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6.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6.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6.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6.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6.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6.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6.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6.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6.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6.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6.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6.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6.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6.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6.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6.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6.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6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6.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6.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6.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6.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6.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6.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6.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6.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6.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6.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6.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6.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6.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6.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6.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6.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6.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6.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6.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6.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6.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6.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6.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6.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6.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6.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6.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6.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6.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6.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6.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6.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6.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6.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6.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6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6.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6.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6.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6.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6.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6.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6.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6.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6.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6.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6.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6.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6.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6.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6.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6.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6.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6.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6.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6.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6.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6.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6.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6.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6.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6.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6.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6.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6.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6.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6.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6.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6.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6.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6.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6.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6.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6.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6.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6.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6.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6.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6.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6.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6.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6.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6.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6.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6.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6.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6.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6.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6.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6.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6.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6.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6.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6.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6.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6.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6.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6.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6.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6.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6.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6.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6.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6.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6.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6.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6.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6.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6.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6.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6.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6.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6.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6.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6.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6.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6.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6.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6.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6.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6.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6.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6.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6.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6.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6.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6.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6.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6.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6.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6.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6.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6.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6.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6.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6.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6.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6.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6.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6.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6.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6.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6.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6.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6.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6.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6.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6.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6.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6.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6.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6.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6.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6.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6.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6.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6.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6.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6.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6.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6.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6.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6.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6.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6.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6.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6.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6.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6.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6.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6.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6.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6.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6.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6.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6.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6.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6.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6.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6.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6.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6.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6.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6.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6.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6.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6.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6.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6.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6.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6.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6.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6.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6.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6.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6.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6.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6.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6.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6.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6.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6.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6.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6.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6.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6.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6.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6.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6.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6.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6.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6.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6.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6.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6.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6.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6.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6.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6.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6.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6.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6.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6.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6.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6.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6.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6.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6.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6.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6.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6.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6.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6.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6.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6.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6.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6.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6.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6.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6.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6.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6.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6.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6.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6.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6.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6.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6.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6.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6.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6.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6.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6.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6.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6.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6.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6.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6.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6.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6.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6.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6.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6.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6.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6.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6.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6.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6.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6.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6.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6.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6.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6.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6.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6.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6.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6.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6.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6.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6.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6.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6.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6.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6.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6.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6.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6.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6.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6.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6.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6.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6.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6.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6.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6.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6.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6.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6.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6.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6.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6.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6.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6.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6.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6.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6.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6.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6.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6.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6.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6.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6.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6.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6.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6.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6.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6.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6.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6.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6.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6.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6.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6.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6.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6.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6.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6.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6.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6.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6.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6.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6.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6.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6.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6.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6.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6.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6.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6.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6.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6.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6.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6.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6.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6.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6.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6.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6.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6.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6.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6.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6.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6.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6.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6.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6.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6.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6.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6.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6.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6.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6.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6.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6.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6.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6.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6.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6.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6.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6.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6.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6.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6.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6.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6.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6.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6.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6.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6.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6.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6.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6.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6.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6.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6.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6.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6.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6.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6.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6.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6.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6.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6.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6.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6.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6.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6.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6.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6.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6.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6.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6.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6.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6.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6.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6.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6.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6.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6.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6.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6.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6.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6.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6.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6.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6.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6.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6.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6.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6.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6.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6.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6.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6.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6.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6.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6.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6.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6.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6.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6.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6.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6.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6.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6.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6.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6.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6.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6.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6.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6.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6.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6.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6.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6.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6.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6.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6.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6.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6.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6.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6.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6.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6.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6.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6.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6.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6.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6.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6.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6.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6.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6.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6.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6.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6.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6.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6.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6.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6.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6.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6.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6.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6.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6.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6.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6.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6.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6.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6.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6.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6.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6.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6.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6.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6.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6.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6.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6.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6.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6.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6.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6.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6.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6.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6.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6.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6.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6.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6.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6.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6.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6.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6.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6.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6.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6.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6.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6.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6.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6.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6.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6.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6.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6.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6.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6.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6.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6.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6.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6.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6.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6.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6.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6.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6.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6.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6.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6.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6.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6.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6.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6.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6.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6.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6.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6.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6.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6.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6.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6.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6.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6.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6.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6.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6.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6.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6.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6.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6.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6.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6.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6.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6.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6.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6.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6.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6.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6.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6.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6.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6.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6.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6.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6.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6.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6.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6.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6.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6.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6.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6.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6.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6.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6.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6.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6.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6.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6.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6.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6.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6.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6.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6.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6.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6.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6.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6.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6.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6.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6.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6.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6.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6.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6.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6.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6.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6.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6.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6.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6.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6.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6.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6.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6.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6.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6.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6.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6.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6.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6.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6.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6.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6.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6.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6.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6.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6.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6.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6.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6.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6.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6.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6.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6.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6.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6.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6.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6.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6.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6.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6.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6.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6.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6.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6.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6.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6.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6.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6.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6.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6.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6.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6.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6.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6.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6.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6.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6.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6.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6.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6.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6.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6.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6.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6.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6.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6.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6.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6.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6.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6.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6.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6.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6.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6.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6.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6.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6.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6.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6.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6.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6.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6.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6.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6.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6.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6.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6.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6.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6.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6.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6.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6.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6.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6.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6.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6.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6.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6.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6.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6.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6.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6.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6.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6.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6.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6.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6.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6.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6.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6.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6.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6.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6.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6.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6.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6.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6.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6.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6.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6.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46">
    <mergeCell ref="B48:C48"/>
    <mergeCell ref="B33:C33"/>
    <mergeCell ref="B41:C41"/>
    <mergeCell ref="B34:C34"/>
    <mergeCell ref="B35:C35"/>
    <mergeCell ref="B36:C36"/>
    <mergeCell ref="B37:C37"/>
    <mergeCell ref="B38:C38"/>
    <mergeCell ref="B39:C39"/>
    <mergeCell ref="B40:C40"/>
    <mergeCell ref="B28:C28"/>
    <mergeCell ref="B29:C29"/>
    <mergeCell ref="B30:C30"/>
    <mergeCell ref="B31:C31"/>
    <mergeCell ref="B32:C32"/>
    <mergeCell ref="B23:C23"/>
    <mergeCell ref="B24:C24"/>
    <mergeCell ref="B25:C25"/>
    <mergeCell ref="B26:C26"/>
    <mergeCell ref="B27:C27"/>
    <mergeCell ref="B13:D13"/>
    <mergeCell ref="F13:G13"/>
    <mergeCell ref="F14:G14"/>
    <mergeCell ref="C20:G20"/>
    <mergeCell ref="C21:G21"/>
    <mergeCell ref="B14:D14"/>
    <mergeCell ref="B15:D15"/>
    <mergeCell ref="F15:G15"/>
    <mergeCell ref="A17:G17"/>
    <mergeCell ref="A18:B18"/>
    <mergeCell ref="C18:G18"/>
    <mergeCell ref="C19:G19"/>
    <mergeCell ref="A19:B19"/>
    <mergeCell ref="A20:B20"/>
    <mergeCell ref="A21:B21"/>
    <mergeCell ref="A7:G7"/>
    <mergeCell ref="B8:G8"/>
    <mergeCell ref="A10:G10"/>
    <mergeCell ref="B11:G11"/>
    <mergeCell ref="B12:D12"/>
    <mergeCell ref="F12:G12"/>
    <mergeCell ref="A1:G1"/>
    <mergeCell ref="A3:C5"/>
    <mergeCell ref="F3:G3"/>
    <mergeCell ref="F4:G4"/>
    <mergeCell ref="F5:G5"/>
  </mergeCells>
  <pageMargins left="0.51181102362204722" right="0.51181102362204722" top="0.78740157480314965" bottom="0.78740157480314965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"/>
  <sheetViews>
    <sheetView workbookViewId="0">
      <selection activeCell="A44" sqref="A44:G44"/>
    </sheetView>
  </sheetViews>
  <sheetFormatPr defaultColWidth="11" defaultRowHeight="14.25"/>
  <sheetData/>
  <sheetProtection algorithmName="SHA-512" hashValue="rq1n9Pykj4FEtJt+tZj1bt+zn8ZhRAXe94sBMbJNJIop7FpWby/O84fmt64YqzfbBKNULAos2oM1BGJL2kaETw==" saltValue="Ua3sosNt0YuE4y44oOnlfw==" spinCount="100000" sheet="1" objects="1" scenarios="1"/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Meus Pedidos</dc:creator>
  <cp:lastModifiedBy>Padrao_win10</cp:lastModifiedBy>
  <cp:lastPrinted>2022-10-18T05:11:34Z</cp:lastPrinted>
  <dcterms:created xsi:type="dcterms:W3CDTF">2017-04-26T14:37:37Z</dcterms:created>
  <dcterms:modified xsi:type="dcterms:W3CDTF">2022-12-19T14:53:55Z</dcterms:modified>
</cp:coreProperties>
</file>